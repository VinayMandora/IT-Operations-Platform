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'Tickets'!$A$1:$M$5</definedName>
    <definedName name="_xlnm._FilterDatabase" localSheetId="1" hidden="1">'Summary'!$A$1:$B$4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</cols>
  <sheetData>
    <row r="1" ht="24" customHeight="1">
      <c r="A1" s="1" t="inlineStr">
        <is>
          <t>Reference</t>
        </is>
      </c>
      <c r="B1" s="1" t="inlineStr">
        <is>
          <t>Title</t>
        </is>
      </c>
      <c r="C1" s="1" t="inlineStr">
        <is>
          <t>Employee</t>
        </is>
      </c>
      <c r="D1" s="1" t="inlineStr">
        <is>
          <t>Technician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SLA</t>
        </is>
      </c>
      <c r="I1" s="1" t="inlineStr">
        <is>
          <t>Created UTC</t>
        </is>
      </c>
      <c r="J1" s="1" t="inlineStr">
        <is>
          <t>SLA due UTC</t>
        </is>
      </c>
      <c r="K1" s="1" t="inlineStr">
        <is>
          <t>Resolved UTC</t>
        </is>
      </c>
      <c r="L1" s="1" t="inlineStr">
        <is>
          <t>Resolution</t>
        </is>
      </c>
      <c r="M1" s="1" t="inlineStr">
        <is>
          <t>Asset tag</t>
        </is>
      </c>
    </row>
    <row r="2">
      <c r="A2" t="inlineStr">
        <is>
          <t>TKT-000001</t>
        </is>
      </c>
      <c r="B2" t="inlineStr">
        <is>
          <t>VPN disconnects during claims review</t>
        </is>
      </c>
      <c r="C2" t="inlineStr">
        <is>
          <t>Jamie Patel</t>
        </is>
      </c>
      <c r="D2" t="inlineStr"/>
      <c r="E2" t="inlineStr">
        <is>
          <t>Network</t>
        </is>
      </c>
      <c r="F2" t="inlineStr">
        <is>
          <t>Medium</t>
        </is>
      </c>
      <c r="G2" t="inlineStr">
        <is>
          <t>Open</t>
        </is>
      </c>
      <c r="H2" t="inlineStr">
        <is>
          <t>On track</t>
        </is>
      </c>
      <c r="I2" s="2" t="n">
        <v>46307.66771807919</v>
      </c>
      <c r="J2" s="2" t="n">
        <v>46308.66771807919</v>
      </c>
      <c r="L2" t="inlineStr"/>
      <c r="M2" t="inlineStr"/>
    </row>
    <row r="3">
      <c r="A3" t="inlineStr">
        <is>
          <t>TKT-000002</t>
        </is>
      </c>
      <c r="B3" t="inlineStr">
        <is>
          <t>First-floor printer repeatedly jams</t>
        </is>
      </c>
      <c r="C3" t="inlineStr">
        <is>
          <t>Ellie Carter</t>
        </is>
      </c>
      <c r="D3" t="inlineStr">
        <is>
          <t>Owen Hughes</t>
        </is>
      </c>
      <c r="E3" t="inlineStr">
        <is>
          <t>Printer</t>
        </is>
      </c>
      <c r="F3" t="inlineStr">
        <is>
          <t>Medium</t>
        </is>
      </c>
      <c r="G3" t="inlineStr">
        <is>
          <t>Assigned</t>
        </is>
      </c>
      <c r="H3" t="inlineStr">
        <is>
          <t>On track</t>
        </is>
      </c>
      <c r="I3" s="2" t="n">
        <v>46307.66771810113</v>
      </c>
      <c r="J3" s="2" t="n">
        <v>46308.66771810113</v>
      </c>
      <c r="L3" t="inlineStr"/>
      <c r="M3" t="inlineStr"/>
    </row>
    <row r="4">
      <c r="A4" t="inlineStr">
        <is>
          <t>TKT-000003</t>
        </is>
      </c>
      <c r="B4" t="inlineStr">
        <is>
          <t>Repeated account lockouts</t>
        </is>
      </c>
      <c r="C4" t="inlineStr">
        <is>
          <t>Jamie Patel</t>
        </is>
      </c>
      <c r="D4" t="inlineStr">
        <is>
          <t>Maya Singh</t>
        </is>
      </c>
      <c r="E4" t="inlineStr">
        <is>
          <t>Account Access</t>
        </is>
      </c>
      <c r="F4" t="inlineStr">
        <is>
          <t>High</t>
        </is>
      </c>
      <c r="G4" t="inlineStr">
        <is>
          <t>In Progress</t>
        </is>
      </c>
      <c r="H4" t="inlineStr">
        <is>
          <t>On track</t>
        </is>
      </c>
      <c r="I4" s="2" t="n">
        <v>46307.66771812386</v>
      </c>
      <c r="J4" s="2" t="n">
        <v>46308.0010514572</v>
      </c>
      <c r="L4" t="inlineStr"/>
      <c r="M4" t="inlineStr"/>
    </row>
    <row r="5">
      <c r="A5" t="inlineStr">
        <is>
          <t>TKT-000004</t>
        </is>
      </c>
      <c r="B5" t="inlineStr">
        <is>
          <t>Outlook add-in freezes on launch</t>
        </is>
      </c>
      <c r="C5" t="inlineStr">
        <is>
          <t>Ellie Carter</t>
        </is>
      </c>
      <c r="D5" t="inlineStr">
        <is>
          <t>Owen Hughes</t>
        </is>
      </c>
      <c r="E5" t="inlineStr">
        <is>
          <t>Software</t>
        </is>
      </c>
      <c r="F5" t="inlineStr">
        <is>
          <t>Low</t>
        </is>
      </c>
      <c r="G5" t="inlineStr">
        <is>
          <t>Resolved</t>
        </is>
      </c>
      <c r="H5" t="inlineStr">
        <is>
          <t>Met</t>
        </is>
      </c>
      <c r="I5" s="2" t="n">
        <v>46307.66771814092</v>
      </c>
      <c r="J5" s="2" t="n">
        <v>46310.66771814092</v>
      </c>
      <c r="K5" s="2" t="n">
        <v>46307.66771814092</v>
      </c>
      <c r="L5" t="inlineStr">
        <is>
          <t>Disabled faulty add-in, installed approved update and verified Outlook startup.</t>
        </is>
      </c>
      <c r="M5" t="inlineStr"/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Open / unresolved</t>
        </is>
      </c>
      <c r="B2">
        <f>COUNTIF(Tickets!G:G,"Open")+COUNTIF(Tickets!G:G,"Assigned")+COUNTIF(Tickets!G:G,"In Progress")</f>
        <v/>
      </c>
    </row>
    <row r="3">
      <c r="A3" t="inlineStr">
        <is>
          <t>Resolved</t>
        </is>
      </c>
      <c r="B3">
        <f>COUNTIF(Tickets!G:G,"Resolved")</f>
        <v/>
      </c>
    </row>
    <row r="4">
      <c r="A4" t="inlineStr">
        <is>
          <t>Critical</t>
        </is>
      </c>
      <c r="B4">
        <f>COUNTIF(Tickets!F:F,"Critical")</f>
        <v/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2026-10-12T16:01:30Z</dcterms:created>
  <dcterms:modified xmlns:dcterms="http://purl.org/dc/terms/" xmlns:xsi="http://www.w3.org/2001/XMLSchema-instance" xsi:type="dcterms:W3CDTF">2026-10-12T16:01:30Z</dcterms:modified>
</cp:coreProperties>
</file>